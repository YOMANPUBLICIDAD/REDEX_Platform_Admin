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GPC\OneDrive\Documentos\Buena Vista Hils\"/>
    </mc:Choice>
  </mc:AlternateContent>
  <bookViews>
    <workbookView xWindow="0" yWindow="0" windowWidth="20490" windowHeight="7500"/>
  </bookViews>
  <sheets>
    <sheet name="Estatus - Proyecto" sheetId="4" r:id="rId1"/>
  </sheets>
  <definedNames>
    <definedName name="_xlnm._FilterDatabase" localSheetId="0" hidden="1">'Estatus - Proyecto'!$C$9:$H$27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17" i="4"/>
  <c r="F17" i="4"/>
  <c r="F26" i="4"/>
  <c r="F27" i="4" l="1"/>
  <c r="D27" i="4" l="1"/>
  <c r="E27" i="4" l="1"/>
</calcChain>
</file>

<file path=xl/sharedStrings.xml><?xml version="1.0" encoding="utf-8"?>
<sst xmlns="http://schemas.openxmlformats.org/spreadsheetml/2006/main" count="28" uniqueCount="13">
  <si>
    <t>Tamaño</t>
  </si>
  <si>
    <t>Precio x mt</t>
  </si>
  <si>
    <t>Estatus</t>
  </si>
  <si>
    <t>Cliente</t>
  </si>
  <si>
    <t>Disponible</t>
  </si>
  <si>
    <t>Vendido</t>
  </si>
  <si>
    <t>No.Solar</t>
  </si>
  <si>
    <t>Precio US$</t>
  </si>
  <si>
    <t>Precio RD$</t>
  </si>
  <si>
    <t>Tasa Dólar</t>
  </si>
  <si>
    <t>Negociación</t>
  </si>
  <si>
    <t>Julissa Perez</t>
  </si>
  <si>
    <t>Vielka la paz Paulino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</si>
</sst>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0D0F0F"/>
      <name val="Calibri Light"/>
      <family val="2"/>
    </font>
    <font>
      <sz val="12"/>
      <color rgb="FF0D0F0F"/>
      <name val="Calibri"/>
      <family val="2"/>
    </font>
    <font>
      <b/>
      <sz val="12"/>
      <color rgb="FF0D0F0F"/>
      <name val="Calibri"/>
      <family val="2"/>
    </font>
    <font>
      <sz val="11"/>
      <color rgb="FF0D0F0F"/>
      <name val="Calibri"/>
      <family val="2"/>
    </font>
    <font>
      <sz val="11"/>
      <color theme="1"/>
      <name val="Calibri"/>
      <family val="2"/>
    </font>
    <font>
      <b/>
      <sz val="14"/>
      <color rgb="FFFFFFFF"/>
      <name val="Arial"/>
      <family val="2"/>
    </font>
    <font>
      <b/>
      <sz val="14"/>
      <color rgb="FF375623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Bahnschrift"/>
      <family val="2"/>
    </font>
    <font>
      <sz val="12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0" xfId="1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/>
    </xf>
    <xf numFmtId="164" fontId="5" fillId="4" borderId="3" xfId="1" applyFont="1" applyFill="1" applyBorder="1" applyAlignment="1">
      <alignment horizontal="center" vertical="center"/>
    </xf>
    <xf numFmtId="165" fontId="5" fillId="4" borderId="5" xfId="1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2" fontId="5" fillId="4" borderId="6" xfId="0" applyNumberFormat="1" applyFont="1" applyFill="1" applyBorder="1" applyAlignment="1">
      <alignment horizontal="center" vertical="center"/>
    </xf>
    <xf numFmtId="165" fontId="5" fillId="4" borderId="6" xfId="1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66" fontId="5" fillId="4" borderId="4" xfId="0" applyNumberFormat="1" applyFont="1" applyFill="1" applyBorder="1" applyAlignment="1">
      <alignment horizontal="center" vertical="center"/>
    </xf>
    <xf numFmtId="164" fontId="5" fillId="4" borderId="4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4" fontId="9" fillId="3" borderId="1" xfId="1" applyFont="1" applyFill="1" applyBorder="1" applyAlignment="1">
      <alignment horizontal="center" vertical="center"/>
    </xf>
    <xf numFmtId="164" fontId="9" fillId="3" borderId="2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right" vertical="center"/>
    </xf>
    <xf numFmtId="166" fontId="10" fillId="3" borderId="2" xfId="0" applyNumberFormat="1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60799</xdr:colOff>
      <xdr:row>1</xdr:row>
      <xdr:rowOff>141861</xdr:rowOff>
    </xdr:from>
    <xdr:to>
      <xdr:col>7</xdr:col>
      <xdr:colOff>419068</xdr:colOff>
      <xdr:row>6</xdr:row>
      <xdr:rowOff>111463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347" y="334388"/>
          <a:ext cx="5688216" cy="932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P27"/>
  <sheetViews>
    <sheetView tabSelected="1" topLeftCell="B13" zoomScale="111" zoomScaleNormal="60" workbookViewId="0">
      <selection activeCell="K21" sqref="K21"/>
    </sheetView>
  </sheetViews>
  <sheetFormatPr baseColWidth="10" defaultColWidth="11.42578125" defaultRowHeight="15" x14ac:dyDescent="0.25"/>
  <cols>
    <col min="2" max="2" width="7" customWidth="1"/>
    <col min="3" max="3" width="14" style="1" customWidth="1"/>
    <col min="4" max="4" width="13.5703125" style="1" customWidth="1"/>
    <col min="5" max="5" width="19.140625" style="2" customWidth="1"/>
    <col min="6" max="6" width="18" style="2" customWidth="1"/>
    <col min="7" max="7" width="15.28515625" style="1" customWidth="1"/>
    <col min="8" max="8" width="16.42578125" customWidth="1"/>
    <col min="9" max="9" width="15.5703125" customWidth="1"/>
    <col min="11" max="11" width="24.140625" customWidth="1"/>
    <col min="12" max="12" width="29.28515625" customWidth="1"/>
    <col min="15" max="15" width="8.5703125" customWidth="1"/>
    <col min="16" max="16" width="13" customWidth="1"/>
  </cols>
  <sheetData>
    <row r="8" spans="3:16" ht="15.75" thickBot="1" x14ac:dyDescent="0.3"/>
    <row r="9" spans="3:16" s="3" customFormat="1" ht="27" customHeight="1" thickBot="1" x14ac:dyDescent="0.3">
      <c r="C9" s="19" t="s">
        <v>6</v>
      </c>
      <c r="D9" s="20" t="s">
        <v>0</v>
      </c>
      <c r="E9" s="21" t="s">
        <v>1</v>
      </c>
      <c r="F9" s="22" t="s">
        <v>7</v>
      </c>
      <c r="G9" s="21" t="s">
        <v>2</v>
      </c>
      <c r="H9" s="21" t="s">
        <v>8</v>
      </c>
      <c r="I9" s="23" t="s">
        <v>9</v>
      </c>
      <c r="J9" s="24">
        <v>63</v>
      </c>
      <c r="K9" s="25" t="s">
        <v>3</v>
      </c>
      <c r="L9" s="25" t="s">
        <v>10</v>
      </c>
    </row>
    <row r="10" spans="3:16" s="3" customFormat="1" ht="18" customHeight="1" x14ac:dyDescent="0.25">
      <c r="C10" s="5">
        <v>1</v>
      </c>
      <c r="D10" s="6">
        <v>400</v>
      </c>
      <c r="E10" s="7">
        <v>90</v>
      </c>
      <c r="F10" s="8">
        <v>36000</v>
      </c>
      <c r="G10" s="9" t="s">
        <v>4</v>
      </c>
      <c r="H10" s="10">
        <v>2268000</v>
      </c>
      <c r="I10" s="11"/>
      <c r="J10" s="12"/>
      <c r="K10" s="26"/>
      <c r="L10" s="27"/>
      <c r="O10" s="28"/>
      <c r="P10" s="28"/>
    </row>
    <row r="11" spans="3:16" s="3" customFormat="1" ht="18" customHeight="1" x14ac:dyDescent="0.25">
      <c r="C11" s="13">
        <v>2</v>
      </c>
      <c r="D11" s="14">
        <v>336.99</v>
      </c>
      <c r="E11" s="7">
        <v>90</v>
      </c>
      <c r="F11" s="15">
        <v>30329.100000000002</v>
      </c>
      <c r="G11" s="16" t="s">
        <v>4</v>
      </c>
      <c r="H11" s="17">
        <v>1910733.3</v>
      </c>
      <c r="I11" s="11"/>
      <c r="J11" s="12"/>
      <c r="K11" s="26"/>
      <c r="L11" s="27"/>
      <c r="P11" s="4"/>
    </row>
    <row r="12" spans="3:16" s="3" customFormat="1" ht="18" customHeight="1" x14ac:dyDescent="0.25">
      <c r="C12" s="13">
        <v>3</v>
      </c>
      <c r="D12" s="14">
        <v>711.06</v>
      </c>
      <c r="E12" s="18">
        <v>90</v>
      </c>
      <c r="F12" s="15">
        <v>63995.399999999994</v>
      </c>
      <c r="G12" s="16" t="s">
        <v>4</v>
      </c>
      <c r="H12" s="17">
        <v>4031710.1999999997</v>
      </c>
      <c r="I12" s="11"/>
      <c r="J12" s="12"/>
      <c r="K12" s="26"/>
      <c r="L12" s="27"/>
      <c r="P12" s="4"/>
    </row>
    <row r="13" spans="3:16" s="3" customFormat="1" ht="18" customHeight="1" x14ac:dyDescent="0.25">
      <c r="C13" s="13">
        <v>4</v>
      </c>
      <c r="D13" s="14">
        <v>969.78</v>
      </c>
      <c r="E13" s="7">
        <v>90</v>
      </c>
      <c r="F13" s="15">
        <v>87280.2</v>
      </c>
      <c r="G13" s="16" t="s">
        <v>4</v>
      </c>
      <c r="H13" s="17">
        <v>5498652.5999999996</v>
      </c>
      <c r="I13" s="11"/>
      <c r="J13" s="12"/>
      <c r="K13" s="26"/>
      <c r="L13" s="27"/>
    </row>
    <row r="14" spans="3:16" s="3" customFormat="1" ht="18" customHeight="1" x14ac:dyDescent="0.25">
      <c r="C14" s="13">
        <v>5</v>
      </c>
      <c r="D14" s="14">
        <v>1454.22</v>
      </c>
      <c r="E14" s="7">
        <v>80</v>
      </c>
      <c r="F14" s="15">
        <v>116337.60000000001</v>
      </c>
      <c r="G14" s="16" t="s">
        <v>4</v>
      </c>
      <c r="H14" s="17">
        <v>7329268.8000000007</v>
      </c>
      <c r="I14" s="11"/>
      <c r="J14" s="12"/>
      <c r="K14" s="26"/>
      <c r="L14" s="27"/>
    </row>
    <row r="15" spans="3:16" s="3" customFormat="1" ht="18" customHeight="1" x14ac:dyDescent="0.25">
      <c r="C15" s="13">
        <v>6</v>
      </c>
      <c r="D15" s="14">
        <v>1174.3900000000001</v>
      </c>
      <c r="E15" s="7">
        <v>90</v>
      </c>
      <c r="F15" s="15">
        <v>105695.1</v>
      </c>
      <c r="G15" s="16" t="s">
        <v>4</v>
      </c>
      <c r="H15" s="17">
        <v>6658791.3000000007</v>
      </c>
      <c r="I15" s="11"/>
      <c r="J15" s="12"/>
      <c r="K15" s="26"/>
      <c r="L15" s="27"/>
    </row>
    <row r="16" spans="3:16" s="3" customFormat="1" ht="18" customHeight="1" x14ac:dyDescent="0.25">
      <c r="C16" s="13">
        <v>7</v>
      </c>
      <c r="D16" s="14">
        <v>946.56</v>
      </c>
      <c r="E16" s="18">
        <v>90</v>
      </c>
      <c r="F16" s="15">
        <v>85190.399999999994</v>
      </c>
      <c r="G16" s="16" t="s">
        <v>4</v>
      </c>
      <c r="H16" s="17">
        <v>5366995.1999999993</v>
      </c>
      <c r="I16" s="11"/>
      <c r="J16" s="12"/>
      <c r="K16" s="26"/>
      <c r="L16" s="27"/>
    </row>
    <row r="17" spans="3:12" s="3" customFormat="1" ht="18" customHeight="1" x14ac:dyDescent="0.25">
      <c r="C17" s="13">
        <v>8</v>
      </c>
      <c r="D17" s="14">
        <v>550</v>
      </c>
      <c r="E17" s="18">
        <v>79</v>
      </c>
      <c r="F17" s="15">
        <f>D17*E17</f>
        <v>43450</v>
      </c>
      <c r="G17" s="16" t="s">
        <v>5</v>
      </c>
      <c r="H17" s="17">
        <f>F17*J9</f>
        <v>2737350</v>
      </c>
      <c r="I17" s="11"/>
      <c r="J17" s="12"/>
      <c r="K17" s="26" t="s">
        <v>12</v>
      </c>
      <c r="L17" s="27"/>
    </row>
    <row r="18" spans="3:12" s="3" customFormat="1" ht="18" customHeight="1" x14ac:dyDescent="0.25">
      <c r="C18" s="13">
        <v>9</v>
      </c>
      <c r="D18" s="14">
        <v>550.04999999999995</v>
      </c>
      <c r="E18" s="7">
        <v>90</v>
      </c>
      <c r="F18" s="15">
        <v>49504.499999999993</v>
      </c>
      <c r="G18" s="16" t="s">
        <v>4</v>
      </c>
      <c r="H18" s="17">
        <v>3118783.4999999995</v>
      </c>
      <c r="I18" s="11"/>
      <c r="J18" s="12"/>
      <c r="K18" s="26"/>
      <c r="L18" s="27"/>
    </row>
    <row r="19" spans="3:12" s="3" customFormat="1" ht="18" customHeight="1" x14ac:dyDescent="0.25">
      <c r="C19" s="13">
        <v>10</v>
      </c>
      <c r="D19" s="14">
        <v>775.43</v>
      </c>
      <c r="E19" s="7">
        <v>70</v>
      </c>
      <c r="F19" s="15">
        <v>54280.1</v>
      </c>
      <c r="G19" s="16" t="s">
        <v>4</v>
      </c>
      <c r="H19" s="17">
        <v>3419646.3</v>
      </c>
      <c r="I19" s="11"/>
      <c r="J19" s="12"/>
      <c r="K19" s="26"/>
      <c r="L19" s="27"/>
    </row>
    <row r="20" spans="3:12" s="3" customFormat="1" ht="18" customHeight="1" x14ac:dyDescent="0.25">
      <c r="C20" s="13">
        <v>11</v>
      </c>
      <c r="D20" s="14">
        <v>502.32</v>
      </c>
      <c r="E20" s="7">
        <v>70</v>
      </c>
      <c r="F20" s="15">
        <v>35162.400000000001</v>
      </c>
      <c r="G20" s="16" t="s">
        <v>4</v>
      </c>
      <c r="H20" s="17">
        <v>2215231.2000000002</v>
      </c>
      <c r="I20" s="11"/>
      <c r="J20" s="12"/>
      <c r="K20" s="26"/>
      <c r="L20" s="27"/>
    </row>
    <row r="21" spans="3:12" s="3" customFormat="1" ht="18" customHeight="1" x14ac:dyDescent="0.25">
      <c r="C21" s="13">
        <v>12</v>
      </c>
      <c r="D21" s="14">
        <v>949.52</v>
      </c>
      <c r="E21" s="18">
        <v>90</v>
      </c>
      <c r="F21" s="15">
        <v>85456.8</v>
      </c>
      <c r="G21" s="16" t="s">
        <v>4</v>
      </c>
      <c r="H21" s="17">
        <v>5383778.4000000004</v>
      </c>
      <c r="I21" s="11"/>
      <c r="J21" s="12"/>
      <c r="K21" s="26"/>
      <c r="L21" s="27"/>
    </row>
    <row r="22" spans="3:12" s="3" customFormat="1" ht="18" customHeight="1" x14ac:dyDescent="0.25">
      <c r="C22" s="13">
        <v>13</v>
      </c>
      <c r="D22" s="14">
        <v>828.89</v>
      </c>
      <c r="E22" s="18">
        <v>90</v>
      </c>
      <c r="F22" s="15">
        <v>74600.100000000006</v>
      </c>
      <c r="G22" s="16" t="s">
        <v>4</v>
      </c>
      <c r="H22" s="17">
        <v>4699806.3000000007</v>
      </c>
      <c r="I22" s="11"/>
      <c r="J22" s="12"/>
      <c r="K22" s="26"/>
      <c r="L22" s="27"/>
    </row>
    <row r="23" spans="3:12" s="3" customFormat="1" ht="18" customHeight="1" x14ac:dyDescent="0.25">
      <c r="C23" s="13">
        <v>14</v>
      </c>
      <c r="D23" s="14">
        <v>720.3</v>
      </c>
      <c r="E23" s="18">
        <v>90</v>
      </c>
      <c r="F23" s="15">
        <v>64826.999999999993</v>
      </c>
      <c r="G23" s="16" t="s">
        <v>4</v>
      </c>
      <c r="H23" s="17">
        <v>4084100.9999999995</v>
      </c>
      <c r="I23" s="11"/>
      <c r="J23" s="12"/>
      <c r="K23" s="26"/>
      <c r="L23" s="27"/>
    </row>
    <row r="24" spans="3:12" s="3" customFormat="1" ht="18" customHeight="1" x14ac:dyDescent="0.25">
      <c r="C24" s="13">
        <v>15</v>
      </c>
      <c r="D24" s="14">
        <v>444.44</v>
      </c>
      <c r="E24" s="18">
        <v>80</v>
      </c>
      <c r="F24" s="15">
        <v>35555.199999999997</v>
      </c>
      <c r="G24" s="16" t="s">
        <v>4</v>
      </c>
      <c r="H24" s="17">
        <v>2239977.5999999996</v>
      </c>
      <c r="I24" s="11"/>
      <c r="J24" s="12"/>
      <c r="K24" s="26"/>
      <c r="L24" s="27"/>
    </row>
    <row r="25" spans="3:12" s="3" customFormat="1" ht="18" customHeight="1" x14ac:dyDescent="0.25">
      <c r="C25" s="13">
        <v>16</v>
      </c>
      <c r="D25" s="14">
        <v>444.44</v>
      </c>
      <c r="E25" s="18">
        <v>80</v>
      </c>
      <c r="F25" s="15">
        <v>35555.199999999997</v>
      </c>
      <c r="G25" s="16" t="s">
        <v>4</v>
      </c>
      <c r="H25" s="17">
        <v>2239977.5999999996</v>
      </c>
      <c r="I25" s="11"/>
      <c r="J25" s="12"/>
      <c r="K25" s="26"/>
      <c r="L25" s="27"/>
    </row>
    <row r="26" spans="3:12" s="3" customFormat="1" ht="18" customHeight="1" x14ac:dyDescent="0.25">
      <c r="C26" s="13">
        <v>17</v>
      </c>
      <c r="D26" s="14">
        <v>444.44</v>
      </c>
      <c r="E26" s="18">
        <v>79</v>
      </c>
      <c r="F26" s="15">
        <f>D26*E26</f>
        <v>35110.76</v>
      </c>
      <c r="G26" s="16" t="s">
        <v>5</v>
      </c>
      <c r="H26" s="17">
        <f>F26*J9</f>
        <v>2211977.8800000004</v>
      </c>
      <c r="I26" s="11"/>
      <c r="J26" s="12"/>
      <c r="K26" s="26" t="s">
        <v>11</v>
      </c>
      <c r="L26" s="27"/>
    </row>
    <row r="27" spans="3:12" x14ac:dyDescent="0.25">
      <c r="D27" s="1">
        <f>SUM(D10:D26)</f>
        <v>12202.830000000002</v>
      </c>
      <c r="E27" s="2">
        <f>+F27/D27</f>
        <v>85.089266997901291</v>
      </c>
      <c r="F27" s="2">
        <f>SUM(F10:F26)</f>
        <v>1038329.86</v>
      </c>
    </row>
  </sheetData>
  <mergeCells count="1">
    <mergeCell ref="O10:P10"/>
  </mergeCells>
  <conditionalFormatting sqref="C27:G27">
    <cfRule type="containsText" dxfId="5" priority="6" operator="containsText" text="Reservado">
      <formula>NOT(ISERROR(SEARCH("Reservado",C27)))</formula>
    </cfRule>
  </conditionalFormatting>
  <conditionalFormatting sqref="G1:G8 G27:G1048576">
    <cfRule type="containsText" dxfId="4" priority="5" operator="containsText" text="Vendido">
      <formula>NOT(ISERROR(SEARCH("Vendido",G1)))</formula>
    </cfRule>
  </conditionalFormatting>
  <conditionalFormatting sqref="C9:G26">
    <cfRule type="containsText" dxfId="3" priority="4" operator="containsText" text="Reservado">
      <formula>NOT(ISERROR(SEARCH("Reservado",C9)))</formula>
    </cfRule>
  </conditionalFormatting>
  <conditionalFormatting sqref="G9:G26">
    <cfRule type="containsText" dxfId="2" priority="3" operator="containsText" text="Vendido">
      <formula>NOT(ISERROR(SEARCH("Vendido",G9)))</formula>
    </cfRule>
  </conditionalFormatting>
  <conditionalFormatting sqref="H9:H26">
    <cfRule type="containsText" dxfId="1" priority="1" operator="containsText" text="Vendido">
      <formula>NOT(ISERROR(SEARCH("Vendido",H9)))</formula>
    </cfRule>
  </conditionalFormatting>
  <conditionalFormatting sqref="H9:H26">
    <cfRule type="containsText" dxfId="0" priority="2" operator="containsText" text="Reservado">
      <formula>NOT(ISERROR(SEARCH("Reservado",H9)))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Estatus - Proyecto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Algelis Sánchez</dc:creator>
  <cp:keywords/>
  <dc:description/>
  <cp:lastModifiedBy>UserGPC</cp:lastModifiedBy>
  <cp:revision/>
  <dcterms:created xsi:type="dcterms:W3CDTF">2025-05-05T20:17:08Z</dcterms:created>
  <dcterms:modified xsi:type="dcterms:W3CDTF">2025-10-28T13:05:29Z</dcterms:modified>
  <cp:category/>
  <cp:contentStatus/>
</cp:coreProperties>
</file>