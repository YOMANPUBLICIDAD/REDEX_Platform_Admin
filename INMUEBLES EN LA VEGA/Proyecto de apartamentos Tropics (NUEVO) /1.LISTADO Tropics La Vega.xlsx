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mcp/Desktop/TDG/TROPICS LA VEGA/2.TROPICS RESIDENCES/"/>
    </mc:Choice>
  </mc:AlternateContent>
  <xr:revisionPtr revIDLastSave="0" documentId="13_ncr:1_{9E4197CA-C3EA-2643-8D3A-987F8268BD80}" xr6:coauthVersionLast="47" xr6:coauthVersionMax="47" xr10:uidLastSave="{00000000-0000-0000-0000-000000000000}"/>
  <bookViews>
    <workbookView xWindow="0" yWindow="620" windowWidth="28800" windowHeight="158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/Pf0MPG1ctZhP7DsGjS/LnUIO+Qdnqf1KrhsuB/vuw="/>
    </ext>
  </extLst>
</workbook>
</file>

<file path=xl/calcChain.xml><?xml version="1.0" encoding="utf-8"?>
<calcChain xmlns="http://schemas.openxmlformats.org/spreadsheetml/2006/main">
  <c r="I56" i="1" l="1"/>
  <c r="I53" i="1"/>
  <c r="I51" i="1"/>
  <c r="I47" i="1"/>
  <c r="I44" i="1"/>
  <c r="I42" i="1"/>
  <c r="I38" i="1"/>
  <c r="I37" i="1"/>
  <c r="I36" i="1"/>
  <c r="I34" i="1"/>
  <c r="I33" i="1"/>
  <c r="I13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<sst xmlns="http://schemas.openxmlformats.org/spreadsheetml/2006/main" count="169" uniqueCount="66">
  <si>
    <t>TROPICS LA VEGA - TORRE 1</t>
  </si>
  <si>
    <t>Apto. No.</t>
  </si>
  <si>
    <t>Nivel</t>
  </si>
  <si>
    <t>Área Construccion (m2)</t>
  </si>
  <si>
    <t>Área Patio (m2)</t>
  </si>
  <si>
    <t>Habitaciones</t>
  </si>
  <si>
    <t>Baños</t>
  </si>
  <si>
    <t>Parqueos</t>
  </si>
  <si>
    <t>Total m2</t>
  </si>
  <si>
    <t>Precio USD$</t>
  </si>
  <si>
    <t>Fecha de Entrega</t>
  </si>
  <si>
    <t>A-1</t>
  </si>
  <si>
    <t>B-1</t>
  </si>
  <si>
    <t>C-1</t>
  </si>
  <si>
    <t>D-1</t>
  </si>
  <si>
    <t>E-1</t>
  </si>
  <si>
    <t>A-2</t>
  </si>
  <si>
    <t>N/A</t>
  </si>
  <si>
    <t>B-2</t>
  </si>
  <si>
    <t>C-2</t>
  </si>
  <si>
    <t>D-2</t>
  </si>
  <si>
    <t>E-2</t>
  </si>
  <si>
    <t>A-3</t>
  </si>
  <si>
    <t>B-3</t>
  </si>
  <si>
    <t>C-3</t>
  </si>
  <si>
    <t>D-3</t>
  </si>
  <si>
    <t>E-3</t>
  </si>
  <si>
    <t>A-4</t>
  </si>
  <si>
    <t>B-4</t>
  </si>
  <si>
    <t>C-4</t>
  </si>
  <si>
    <t>D-4</t>
  </si>
  <si>
    <t>E-4</t>
  </si>
  <si>
    <t>A-5</t>
  </si>
  <si>
    <t>B-5</t>
  </si>
  <si>
    <t>C-5</t>
  </si>
  <si>
    <t>D-5</t>
  </si>
  <si>
    <t>E-5</t>
  </si>
  <si>
    <t>3+</t>
  </si>
  <si>
    <t>A-101</t>
  </si>
  <si>
    <t>B-101</t>
  </si>
  <si>
    <t>C-101</t>
  </si>
  <si>
    <t>D-101</t>
  </si>
  <si>
    <t>E-101</t>
  </si>
  <si>
    <t>A-201</t>
  </si>
  <si>
    <t>B-201</t>
  </si>
  <si>
    <t>C-201</t>
  </si>
  <si>
    <t>D-201</t>
  </si>
  <si>
    <t>E-201</t>
  </si>
  <si>
    <t>A-301</t>
  </si>
  <si>
    <t>B-301</t>
  </si>
  <si>
    <t>C-301</t>
  </si>
  <si>
    <t>D-301</t>
  </si>
  <si>
    <t>E-301</t>
  </si>
  <si>
    <t>A-401</t>
  </si>
  <si>
    <t>B-401</t>
  </si>
  <si>
    <t>C-401</t>
  </si>
  <si>
    <t>D-401</t>
  </si>
  <si>
    <t>E-401</t>
  </si>
  <si>
    <t>A-501</t>
  </si>
  <si>
    <t>B-501</t>
  </si>
  <si>
    <t>C-501</t>
  </si>
  <si>
    <t>D-501</t>
  </si>
  <si>
    <t>E-501</t>
  </si>
  <si>
    <t>VENDIDO</t>
  </si>
  <si>
    <t>Estatus</t>
  </si>
  <si>
    <t>TROPICS LA VEGA - TORRE 2 ENTREGA SEPTIEMBRE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</si>
</sst>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D$&quot;* #,##0.00_);_(&quot;RD$&quot;* \(#,##0.00\);_(&quot;RD$&quot;* &quot;-&quot;??_);_(@_)"/>
    <numFmt numFmtId="164" formatCode="_-[$$-80A]* #,##0.00_-;\-[$$-80A]* #,##0.00_-;_-[$$-80A]* &quot;-&quot;??_-;_-@"/>
    <numFmt numFmtId="165" formatCode="_-[$$-80A]* #,##0.00_-;\-[$$-80A]* #,##0.00_-;_-[$$-80A]* &quot;-&quot;??_-;_-@_-"/>
  </numFmts>
  <fonts count="10" x14ac:knownFonts="1">
    <font>
      <sz val="12"/>
      <color theme="1"/>
      <name val="Calibri"/>
      <scheme val="minor"/>
    </font>
    <font>
      <b/>
      <sz val="16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 (Cuerpo)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44" fontId="3" fillId="0" borderId="0" xfId="0" applyNumberFormat="1" applyFont="1"/>
    <xf numFmtId="164" fontId="6" fillId="3" borderId="0" xfId="0" applyNumberFormat="1" applyFont="1" applyFill="1" applyAlignment="1">
      <alignment horizontal="center" vertical="center"/>
    </xf>
    <xf numFmtId="17" fontId="6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12" fontId="6" fillId="3" borderId="0" xfId="0" applyNumberFormat="1" applyFont="1" applyFill="1" applyAlignment="1">
      <alignment horizontal="center" vertical="center"/>
    </xf>
    <xf numFmtId="16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2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2" fontId="6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2" fontId="7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 wrapText="1"/>
    </xf>
    <xf numFmtId="17" fontId="9" fillId="3" borderId="0" xfId="0" applyNumberFormat="1" applyFont="1" applyFill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5" workbookViewId="0">
      <selection activeCell="I56" sqref="I56"/>
    </sheetView>
  </sheetViews>
  <sheetFormatPr baseColWidth="10" defaultColWidth="11.1640625" defaultRowHeight="15" customHeight="1" x14ac:dyDescent="0.2"/>
  <cols>
    <col min="1" max="2" width="10.5" customWidth="1"/>
    <col min="3" max="3" width="20.6640625" customWidth="1"/>
    <col min="4" max="4" width="23.83203125" customWidth="1"/>
    <col min="5" max="5" width="15.6640625" customWidth="1"/>
    <col min="6" max="6" width="13.6640625" customWidth="1"/>
    <col min="7" max="8" width="10.5" customWidth="1"/>
    <col min="9" max="9" width="19.5" customWidth="1"/>
    <col min="10" max="11" width="16.6640625" customWidth="1"/>
    <col min="12" max="12" width="13.83203125" customWidth="1"/>
    <col min="13" max="26" width="10.5" customWidth="1"/>
  </cols>
  <sheetData>
    <row r="1" spans="1:12" ht="35" customHeight="1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9"/>
    </row>
    <row r="2" spans="1:12" ht="30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2" ht="19.5" customHeight="1" x14ac:dyDescent="0.2">
      <c r="A3" s="10" t="s">
        <v>11</v>
      </c>
      <c r="B3" s="10">
        <v>1</v>
      </c>
      <c r="C3" s="10">
        <v>169</v>
      </c>
      <c r="D3" s="10">
        <v>56</v>
      </c>
      <c r="E3" s="12" t="s">
        <v>37</v>
      </c>
      <c r="F3" s="11">
        <v>3.5</v>
      </c>
      <c r="G3" s="10">
        <v>2</v>
      </c>
      <c r="H3" s="10">
        <f>C3+D3+25</f>
        <v>250</v>
      </c>
      <c r="I3" s="7" t="s">
        <v>63</v>
      </c>
      <c r="J3" s="8">
        <v>46447</v>
      </c>
    </row>
    <row r="4" spans="1:12" ht="19.5" customHeight="1" x14ac:dyDescent="0.2">
      <c r="A4" s="10" t="s">
        <v>12</v>
      </c>
      <c r="B4" s="10">
        <v>1</v>
      </c>
      <c r="C4" s="10">
        <v>93</v>
      </c>
      <c r="D4" s="10">
        <v>50</v>
      </c>
      <c r="E4" s="10">
        <v>2</v>
      </c>
      <c r="F4" s="10">
        <v>2</v>
      </c>
      <c r="G4" s="10">
        <v>1</v>
      </c>
      <c r="H4" s="10">
        <f t="shared" ref="H4:H6" si="0">C4+D4+12.5</f>
        <v>155.5</v>
      </c>
      <c r="I4" s="7" t="s">
        <v>63</v>
      </c>
      <c r="J4" s="8">
        <v>46447</v>
      </c>
      <c r="L4" s="5">
        <v>1550</v>
      </c>
    </row>
    <row r="5" spans="1:12" ht="19.5" customHeight="1" x14ac:dyDescent="0.2">
      <c r="A5" s="10" t="s">
        <v>13</v>
      </c>
      <c r="B5" s="10">
        <v>1</v>
      </c>
      <c r="C5" s="10">
        <v>81</v>
      </c>
      <c r="D5" s="10">
        <v>65</v>
      </c>
      <c r="E5" s="10">
        <v>2</v>
      </c>
      <c r="F5" s="10">
        <v>2</v>
      </c>
      <c r="G5" s="10">
        <v>1</v>
      </c>
      <c r="H5" s="10">
        <f t="shared" si="0"/>
        <v>158.5</v>
      </c>
      <c r="I5" s="7" t="s">
        <v>63</v>
      </c>
      <c r="J5" s="8">
        <v>46447</v>
      </c>
    </row>
    <row r="6" spans="1:12" ht="19.5" customHeight="1" x14ac:dyDescent="0.2">
      <c r="A6" s="10" t="s">
        <v>14</v>
      </c>
      <c r="B6" s="10">
        <v>1</v>
      </c>
      <c r="C6" s="10">
        <v>89</v>
      </c>
      <c r="D6" s="10">
        <v>90</v>
      </c>
      <c r="E6" s="10">
        <v>2</v>
      </c>
      <c r="F6" s="10">
        <v>2</v>
      </c>
      <c r="G6" s="10">
        <v>1</v>
      </c>
      <c r="H6" s="10">
        <f t="shared" si="0"/>
        <v>191.5</v>
      </c>
      <c r="I6" s="7" t="s">
        <v>63</v>
      </c>
      <c r="J6" s="8">
        <v>46447</v>
      </c>
    </row>
    <row r="7" spans="1:12" ht="19.5" customHeight="1" x14ac:dyDescent="0.2">
      <c r="A7" s="10" t="s">
        <v>15</v>
      </c>
      <c r="B7" s="10">
        <v>1</v>
      </c>
      <c r="C7" s="10">
        <v>143</v>
      </c>
      <c r="D7" s="10">
        <v>137</v>
      </c>
      <c r="E7" s="12" t="s">
        <v>37</v>
      </c>
      <c r="F7" s="11">
        <v>3.5</v>
      </c>
      <c r="G7" s="10">
        <v>2</v>
      </c>
      <c r="H7" s="10">
        <f>C7+D7+25</f>
        <v>305</v>
      </c>
      <c r="I7" s="7" t="s">
        <v>63</v>
      </c>
      <c r="J7" s="8">
        <v>46447</v>
      </c>
    </row>
    <row r="8" spans="1:12" ht="19.5" customHeight="1" x14ac:dyDescent="0.2">
      <c r="A8" s="26" t="s">
        <v>16</v>
      </c>
      <c r="B8" s="26">
        <v>2</v>
      </c>
      <c r="C8" s="26">
        <v>169</v>
      </c>
      <c r="D8" s="26" t="s">
        <v>17</v>
      </c>
      <c r="E8" s="26" t="s">
        <v>37</v>
      </c>
      <c r="F8" s="27">
        <v>3.5</v>
      </c>
      <c r="G8" s="26">
        <v>2</v>
      </c>
      <c r="H8" s="26">
        <f>C8+25</f>
        <v>194</v>
      </c>
      <c r="I8" s="4">
        <v>258500</v>
      </c>
      <c r="J8" s="17">
        <v>46447</v>
      </c>
    </row>
    <row r="9" spans="1:12" ht="19.5" customHeight="1" x14ac:dyDescent="0.2">
      <c r="A9" s="10" t="s">
        <v>18</v>
      </c>
      <c r="B9" s="10">
        <v>2</v>
      </c>
      <c r="C9" s="10">
        <v>93</v>
      </c>
      <c r="D9" s="10" t="s">
        <v>17</v>
      </c>
      <c r="E9" s="10">
        <v>2</v>
      </c>
      <c r="F9" s="10">
        <v>2</v>
      </c>
      <c r="G9" s="10">
        <v>1</v>
      </c>
      <c r="H9" s="10">
        <f t="shared" ref="H9:H11" si="1">C9+12.5</f>
        <v>105.5</v>
      </c>
      <c r="I9" s="7" t="s">
        <v>63</v>
      </c>
      <c r="J9" s="8">
        <v>46447</v>
      </c>
    </row>
    <row r="10" spans="1:12" ht="19.5" customHeight="1" x14ac:dyDescent="0.2">
      <c r="A10" s="10" t="s">
        <v>19</v>
      </c>
      <c r="B10" s="10">
        <v>2</v>
      </c>
      <c r="C10" s="10">
        <v>81</v>
      </c>
      <c r="D10" s="10" t="s">
        <v>17</v>
      </c>
      <c r="E10" s="10">
        <v>2</v>
      </c>
      <c r="F10" s="10">
        <v>2</v>
      </c>
      <c r="G10" s="10">
        <v>1</v>
      </c>
      <c r="H10" s="10">
        <f t="shared" si="1"/>
        <v>93.5</v>
      </c>
      <c r="I10" s="7" t="s">
        <v>63</v>
      </c>
      <c r="J10" s="8">
        <v>46447</v>
      </c>
    </row>
    <row r="11" spans="1:12" ht="19.5" customHeight="1" x14ac:dyDescent="0.2">
      <c r="A11" s="10" t="s">
        <v>20</v>
      </c>
      <c r="B11" s="10">
        <v>2</v>
      </c>
      <c r="C11" s="10">
        <v>89</v>
      </c>
      <c r="D11" s="10" t="s">
        <v>17</v>
      </c>
      <c r="E11" s="10">
        <v>2</v>
      </c>
      <c r="F11" s="10">
        <v>2</v>
      </c>
      <c r="G11" s="10">
        <v>1</v>
      </c>
      <c r="H11" s="10">
        <f t="shared" si="1"/>
        <v>101.5</v>
      </c>
      <c r="I11" s="7" t="s">
        <v>63</v>
      </c>
      <c r="J11" s="8">
        <v>46447</v>
      </c>
    </row>
    <row r="12" spans="1:12" ht="19.5" customHeight="1" x14ac:dyDescent="0.2">
      <c r="A12" s="10" t="s">
        <v>21</v>
      </c>
      <c r="B12" s="10">
        <v>2</v>
      </c>
      <c r="C12" s="10">
        <v>143</v>
      </c>
      <c r="D12" s="10" t="s">
        <v>17</v>
      </c>
      <c r="E12" s="10" t="s">
        <v>37</v>
      </c>
      <c r="F12" s="11">
        <v>3.5</v>
      </c>
      <c r="G12" s="10">
        <v>2</v>
      </c>
      <c r="H12" s="10">
        <f t="shared" ref="H12:H13" si="2">C12+25</f>
        <v>168</v>
      </c>
      <c r="I12" s="7" t="s">
        <v>63</v>
      </c>
      <c r="J12" s="8">
        <v>46447</v>
      </c>
    </row>
    <row r="13" spans="1:12" ht="19.5" customHeight="1" x14ac:dyDescent="0.2">
      <c r="A13" s="2" t="s">
        <v>22</v>
      </c>
      <c r="B13" s="2">
        <v>3</v>
      </c>
      <c r="C13" s="2">
        <v>169</v>
      </c>
      <c r="D13" s="2" t="s">
        <v>17</v>
      </c>
      <c r="E13" s="2" t="s">
        <v>37</v>
      </c>
      <c r="F13" s="3">
        <v>3.5</v>
      </c>
      <c r="G13" s="2">
        <v>2</v>
      </c>
      <c r="H13" s="2">
        <f t="shared" si="2"/>
        <v>194</v>
      </c>
      <c r="I13" s="4">
        <f>C13*L4+2000+5000+5000</f>
        <v>273950</v>
      </c>
      <c r="J13" s="24">
        <v>46447</v>
      </c>
    </row>
    <row r="14" spans="1:12" ht="19.5" customHeight="1" x14ac:dyDescent="0.2">
      <c r="A14" s="10" t="s">
        <v>23</v>
      </c>
      <c r="B14" s="10">
        <v>3</v>
      </c>
      <c r="C14" s="10">
        <v>93</v>
      </c>
      <c r="D14" s="10" t="s">
        <v>17</v>
      </c>
      <c r="E14" s="10">
        <v>2</v>
      </c>
      <c r="F14" s="10">
        <v>2</v>
      </c>
      <c r="G14" s="10">
        <v>1</v>
      </c>
      <c r="H14" s="10">
        <f t="shared" ref="H14:H16" si="3">C14+12.5</f>
        <v>105.5</v>
      </c>
      <c r="I14" s="7" t="s">
        <v>63</v>
      </c>
      <c r="J14" s="8">
        <v>46447</v>
      </c>
    </row>
    <row r="15" spans="1:12" ht="19.5" customHeight="1" x14ac:dyDescent="0.2">
      <c r="A15" s="10" t="s">
        <v>24</v>
      </c>
      <c r="B15" s="10">
        <v>3</v>
      </c>
      <c r="C15" s="10">
        <v>81</v>
      </c>
      <c r="D15" s="10" t="s">
        <v>17</v>
      </c>
      <c r="E15" s="10">
        <v>2</v>
      </c>
      <c r="F15" s="10">
        <v>2</v>
      </c>
      <c r="G15" s="10">
        <v>1</v>
      </c>
      <c r="H15" s="10">
        <f t="shared" si="3"/>
        <v>93.5</v>
      </c>
      <c r="I15" s="7" t="s">
        <v>63</v>
      </c>
      <c r="J15" s="8">
        <v>46447</v>
      </c>
    </row>
    <row r="16" spans="1:12" ht="19.5" customHeight="1" x14ac:dyDescent="0.2">
      <c r="A16" s="13" t="s">
        <v>25</v>
      </c>
      <c r="B16" s="13">
        <v>3</v>
      </c>
      <c r="C16" s="13">
        <v>89</v>
      </c>
      <c r="D16" s="13" t="s">
        <v>17</v>
      </c>
      <c r="E16" s="13">
        <v>2</v>
      </c>
      <c r="F16" s="13">
        <v>2</v>
      </c>
      <c r="G16" s="13">
        <v>1</v>
      </c>
      <c r="H16" s="13">
        <f t="shared" si="3"/>
        <v>101.5</v>
      </c>
      <c r="I16" s="7" t="s">
        <v>63</v>
      </c>
      <c r="J16" s="8">
        <v>46447</v>
      </c>
    </row>
    <row r="17" spans="1:11" ht="19.5" customHeight="1" x14ac:dyDescent="0.2">
      <c r="A17" s="10" t="s">
        <v>26</v>
      </c>
      <c r="B17" s="10">
        <v>3</v>
      </c>
      <c r="C17" s="10">
        <v>143</v>
      </c>
      <c r="D17" s="10" t="s">
        <v>17</v>
      </c>
      <c r="E17" s="10" t="s">
        <v>37</v>
      </c>
      <c r="F17" s="11">
        <v>3.5</v>
      </c>
      <c r="G17" s="10">
        <v>2</v>
      </c>
      <c r="H17" s="10">
        <f t="shared" ref="H17:H18" si="4">C17+25</f>
        <v>168</v>
      </c>
      <c r="I17" s="7" t="s">
        <v>63</v>
      </c>
      <c r="J17" s="8">
        <v>46447</v>
      </c>
    </row>
    <row r="18" spans="1:11" ht="19.5" customHeight="1" x14ac:dyDescent="0.2">
      <c r="A18" s="10" t="s">
        <v>27</v>
      </c>
      <c r="B18" s="10">
        <v>4</v>
      </c>
      <c r="C18" s="10">
        <v>169</v>
      </c>
      <c r="D18" s="10" t="s">
        <v>17</v>
      </c>
      <c r="E18" s="10" t="s">
        <v>37</v>
      </c>
      <c r="F18" s="11">
        <v>3.5</v>
      </c>
      <c r="G18" s="10">
        <v>2</v>
      </c>
      <c r="H18" s="10">
        <f t="shared" si="4"/>
        <v>194</v>
      </c>
      <c r="I18" s="7" t="s">
        <v>63</v>
      </c>
      <c r="J18" s="8">
        <v>46447</v>
      </c>
    </row>
    <row r="19" spans="1:11" ht="19.5" customHeight="1" x14ac:dyDescent="0.2">
      <c r="A19" s="10" t="s">
        <v>28</v>
      </c>
      <c r="B19" s="10">
        <v>4</v>
      </c>
      <c r="C19" s="10">
        <v>93</v>
      </c>
      <c r="D19" s="10" t="s">
        <v>17</v>
      </c>
      <c r="E19" s="10">
        <v>2</v>
      </c>
      <c r="F19" s="10">
        <v>2</v>
      </c>
      <c r="G19" s="10">
        <v>1</v>
      </c>
      <c r="H19" s="10">
        <f t="shared" ref="H19:H21" si="5">C19+12.5</f>
        <v>105.5</v>
      </c>
      <c r="I19" s="7" t="s">
        <v>63</v>
      </c>
      <c r="J19" s="8">
        <v>46447</v>
      </c>
    </row>
    <row r="20" spans="1:11" ht="19.5" customHeight="1" x14ac:dyDescent="0.2">
      <c r="A20" s="10" t="s">
        <v>29</v>
      </c>
      <c r="B20" s="10">
        <v>4</v>
      </c>
      <c r="C20" s="10">
        <v>81</v>
      </c>
      <c r="D20" s="10" t="s">
        <v>17</v>
      </c>
      <c r="E20" s="10">
        <v>2</v>
      </c>
      <c r="F20" s="10">
        <v>2</v>
      </c>
      <c r="G20" s="10">
        <v>1</v>
      </c>
      <c r="H20" s="10">
        <f t="shared" si="5"/>
        <v>93.5</v>
      </c>
      <c r="I20" s="7" t="s">
        <v>63</v>
      </c>
      <c r="J20" s="8">
        <v>46447</v>
      </c>
      <c r="K20" s="6"/>
    </row>
    <row r="21" spans="1:11" ht="19.5" customHeight="1" x14ac:dyDescent="0.2">
      <c r="A21" s="13" t="s">
        <v>30</v>
      </c>
      <c r="B21" s="13">
        <v>4</v>
      </c>
      <c r="C21" s="13">
        <v>89</v>
      </c>
      <c r="D21" s="13" t="s">
        <v>17</v>
      </c>
      <c r="E21" s="13">
        <v>2</v>
      </c>
      <c r="F21" s="13">
        <v>2</v>
      </c>
      <c r="G21" s="13">
        <v>1</v>
      </c>
      <c r="H21" s="13">
        <f t="shared" si="5"/>
        <v>101.5</v>
      </c>
      <c r="I21" s="7" t="s">
        <v>63</v>
      </c>
      <c r="J21" s="8">
        <v>46447</v>
      </c>
      <c r="K21" s="6"/>
    </row>
    <row r="22" spans="1:11" ht="19.5" customHeight="1" x14ac:dyDescent="0.2">
      <c r="A22" s="10" t="s">
        <v>31</v>
      </c>
      <c r="B22" s="10">
        <v>4</v>
      </c>
      <c r="C22" s="10">
        <v>143</v>
      </c>
      <c r="D22" s="10" t="s">
        <v>17</v>
      </c>
      <c r="E22" s="10" t="s">
        <v>37</v>
      </c>
      <c r="F22" s="11">
        <v>3.5</v>
      </c>
      <c r="G22" s="10">
        <v>2</v>
      </c>
      <c r="H22" s="10">
        <f t="shared" ref="H22:H23" si="6">C22+25</f>
        <v>168</v>
      </c>
      <c r="I22" s="7" t="s">
        <v>63</v>
      </c>
      <c r="J22" s="8">
        <v>46447</v>
      </c>
    </row>
    <row r="23" spans="1:11" ht="19.5" customHeight="1" x14ac:dyDescent="0.2">
      <c r="A23" s="10" t="s">
        <v>32</v>
      </c>
      <c r="B23" s="10">
        <v>5</v>
      </c>
      <c r="C23" s="10">
        <v>169</v>
      </c>
      <c r="D23" s="10" t="s">
        <v>17</v>
      </c>
      <c r="E23" s="10" t="s">
        <v>37</v>
      </c>
      <c r="F23" s="11">
        <v>3.5</v>
      </c>
      <c r="G23" s="10">
        <v>2</v>
      </c>
      <c r="H23" s="10">
        <f t="shared" si="6"/>
        <v>194</v>
      </c>
      <c r="I23" s="7" t="s">
        <v>63</v>
      </c>
      <c r="J23" s="8">
        <v>46447</v>
      </c>
    </row>
    <row r="24" spans="1:11" ht="19.5" customHeight="1" x14ac:dyDescent="0.2">
      <c r="A24" s="10" t="s">
        <v>33</v>
      </c>
      <c r="B24" s="10">
        <v>5</v>
      </c>
      <c r="C24" s="10">
        <v>93</v>
      </c>
      <c r="D24" s="10" t="s">
        <v>17</v>
      </c>
      <c r="E24" s="10">
        <v>2</v>
      </c>
      <c r="F24" s="10">
        <v>2</v>
      </c>
      <c r="G24" s="10">
        <v>1</v>
      </c>
      <c r="H24" s="10">
        <f t="shared" ref="H24:H26" si="7">C24+12.5</f>
        <v>105.5</v>
      </c>
      <c r="I24" s="7" t="s">
        <v>63</v>
      </c>
      <c r="J24" s="8">
        <v>46447</v>
      </c>
    </row>
    <row r="25" spans="1:11" ht="19.5" customHeight="1" x14ac:dyDescent="0.2">
      <c r="A25" s="10" t="s">
        <v>34</v>
      </c>
      <c r="B25" s="10">
        <v>5</v>
      </c>
      <c r="C25" s="10">
        <v>81</v>
      </c>
      <c r="D25" s="10" t="s">
        <v>17</v>
      </c>
      <c r="E25" s="10">
        <v>2</v>
      </c>
      <c r="F25" s="10">
        <v>2</v>
      </c>
      <c r="G25" s="10">
        <v>1</v>
      </c>
      <c r="H25" s="10">
        <f t="shared" si="7"/>
        <v>93.5</v>
      </c>
      <c r="I25" s="7" t="s">
        <v>63</v>
      </c>
      <c r="J25" s="8">
        <v>46447</v>
      </c>
    </row>
    <row r="26" spans="1:11" ht="19.5" customHeight="1" x14ac:dyDescent="0.2">
      <c r="A26" s="10" t="s">
        <v>35</v>
      </c>
      <c r="B26" s="10">
        <v>5</v>
      </c>
      <c r="C26" s="10">
        <v>89</v>
      </c>
      <c r="D26" s="10" t="s">
        <v>17</v>
      </c>
      <c r="E26" s="10">
        <v>2</v>
      </c>
      <c r="F26" s="10">
        <v>2</v>
      </c>
      <c r="G26" s="10">
        <v>1</v>
      </c>
      <c r="H26" s="10">
        <f t="shared" si="7"/>
        <v>101.5</v>
      </c>
      <c r="I26" s="7" t="s">
        <v>63</v>
      </c>
      <c r="J26" s="8">
        <v>46447</v>
      </c>
    </row>
    <row r="27" spans="1:11" ht="19.5" customHeight="1" thickBot="1" x14ac:dyDescent="0.25">
      <c r="A27" s="18" t="s">
        <v>36</v>
      </c>
      <c r="B27" s="18">
        <v>5</v>
      </c>
      <c r="C27" s="18">
        <v>143</v>
      </c>
      <c r="D27" s="18" t="s">
        <v>17</v>
      </c>
      <c r="E27" s="18" t="s">
        <v>37</v>
      </c>
      <c r="F27" s="19">
        <v>3.5</v>
      </c>
      <c r="G27" s="18">
        <v>2</v>
      </c>
      <c r="H27" s="18">
        <f>C27+25</f>
        <v>168</v>
      </c>
      <c r="I27" s="20" t="s">
        <v>63</v>
      </c>
      <c r="J27" s="8">
        <v>46447</v>
      </c>
    </row>
    <row r="28" spans="1:11" ht="19.5" customHeight="1" x14ac:dyDescent="0.2">
      <c r="A28" s="14"/>
      <c r="B28" s="14"/>
      <c r="C28" s="14"/>
      <c r="D28" s="14"/>
      <c r="E28" s="14"/>
      <c r="F28" s="15"/>
      <c r="G28" s="14"/>
      <c r="H28" s="14"/>
      <c r="I28" s="16"/>
      <c r="J28" s="17"/>
      <c r="K28" s="2"/>
    </row>
    <row r="29" spans="1:11" ht="19.5" customHeight="1" x14ac:dyDescent="0.2">
      <c r="A29" s="33" t="s">
        <v>65</v>
      </c>
      <c r="B29" s="33"/>
      <c r="C29" s="33"/>
      <c r="D29" s="33"/>
      <c r="E29" s="33"/>
      <c r="F29" s="33"/>
      <c r="G29" s="33"/>
      <c r="H29" s="33"/>
      <c r="I29" s="33"/>
      <c r="J29" s="33"/>
      <c r="K29" s="2"/>
    </row>
    <row r="30" spans="1:11" ht="19.5" customHeight="1" x14ac:dyDescent="0.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2"/>
    </row>
    <row r="31" spans="1:11" ht="19.5" customHeight="1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2"/>
    </row>
    <row r="32" spans="1:11" ht="19.5" customHeight="1" x14ac:dyDescent="0.2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64</v>
      </c>
      <c r="K32" s="2"/>
    </row>
    <row r="33" spans="1:11" ht="19.5" customHeight="1" x14ac:dyDescent="0.2">
      <c r="A33" s="21" t="s">
        <v>38</v>
      </c>
      <c r="B33" s="21">
        <v>1</v>
      </c>
      <c r="C33" s="21">
        <v>169</v>
      </c>
      <c r="D33" s="21">
        <v>56</v>
      </c>
      <c r="E33" s="22" t="s">
        <v>37</v>
      </c>
      <c r="F33" s="23">
        <v>3.5</v>
      </c>
      <c r="G33" s="21">
        <v>2</v>
      </c>
      <c r="H33" s="21">
        <f>C33+D33+25</f>
        <v>250</v>
      </c>
      <c r="I33" s="4">
        <f>(C33*L4)+(150*D33)+5000+5000</f>
        <v>280350</v>
      </c>
      <c r="J33" s="24">
        <v>46631</v>
      </c>
      <c r="K33" s="2"/>
    </row>
    <row r="34" spans="1:11" ht="19.5" customHeight="1" x14ac:dyDescent="0.2">
      <c r="A34" s="21" t="s">
        <v>39</v>
      </c>
      <c r="B34" s="21">
        <v>1</v>
      </c>
      <c r="C34" s="21">
        <v>93</v>
      </c>
      <c r="D34" s="21">
        <v>50</v>
      </c>
      <c r="E34" s="21">
        <v>2</v>
      </c>
      <c r="F34" s="21">
        <v>2</v>
      </c>
      <c r="G34" s="21">
        <v>1</v>
      </c>
      <c r="H34" s="21">
        <f t="shared" ref="H34:H36" si="8">C34+D34+12.5</f>
        <v>155.5</v>
      </c>
      <c r="I34" s="4">
        <f>(C34*L4)+(D34*150)+5000+5000</f>
        <v>161650</v>
      </c>
      <c r="J34" s="24">
        <v>46631</v>
      </c>
      <c r="K34" s="2"/>
    </row>
    <row r="35" spans="1:11" ht="19.5" customHeight="1" x14ac:dyDescent="0.2">
      <c r="A35" s="10" t="s">
        <v>40</v>
      </c>
      <c r="B35" s="10">
        <v>1</v>
      </c>
      <c r="C35" s="10">
        <v>81</v>
      </c>
      <c r="D35" s="10">
        <v>65</v>
      </c>
      <c r="E35" s="10">
        <v>2</v>
      </c>
      <c r="F35" s="10">
        <v>2</v>
      </c>
      <c r="G35" s="10">
        <v>1</v>
      </c>
      <c r="H35" s="10">
        <f t="shared" si="8"/>
        <v>158.5</v>
      </c>
      <c r="I35" s="7" t="s">
        <v>63</v>
      </c>
      <c r="J35" s="8">
        <v>46631</v>
      </c>
      <c r="K35" s="2"/>
    </row>
    <row r="36" spans="1:11" ht="19.5" customHeight="1" x14ac:dyDescent="0.2">
      <c r="A36" s="21" t="s">
        <v>41</v>
      </c>
      <c r="B36" s="21">
        <v>1</v>
      </c>
      <c r="C36" s="21">
        <v>89</v>
      </c>
      <c r="D36" s="21">
        <v>90</v>
      </c>
      <c r="E36" s="21">
        <v>2</v>
      </c>
      <c r="F36" s="21">
        <v>2</v>
      </c>
      <c r="G36" s="21">
        <v>1</v>
      </c>
      <c r="H36" s="21">
        <f t="shared" si="8"/>
        <v>191.5</v>
      </c>
      <c r="I36" s="4">
        <f>(C36*L4)+(150*D36)+5000</f>
        <v>156450</v>
      </c>
      <c r="J36" s="24">
        <v>46631</v>
      </c>
      <c r="K36" s="2"/>
    </row>
    <row r="37" spans="1:11" ht="19.5" customHeight="1" x14ac:dyDescent="0.2">
      <c r="A37" s="21" t="s">
        <v>42</v>
      </c>
      <c r="B37" s="21">
        <v>1</v>
      </c>
      <c r="C37" s="21">
        <v>143</v>
      </c>
      <c r="D37" s="21">
        <v>137</v>
      </c>
      <c r="E37" s="22" t="s">
        <v>37</v>
      </c>
      <c r="F37" s="23">
        <v>3.5</v>
      </c>
      <c r="G37" s="21">
        <v>2</v>
      </c>
      <c r="H37" s="21">
        <f>C37+D37+25</f>
        <v>305</v>
      </c>
      <c r="I37" s="4">
        <f>(C37*L4)+(150*D37)+5000+5000</f>
        <v>252200</v>
      </c>
      <c r="J37" s="24">
        <v>46631</v>
      </c>
      <c r="K37" s="2"/>
    </row>
    <row r="38" spans="1:11" ht="19.5" customHeight="1" x14ac:dyDescent="0.2">
      <c r="A38" s="21" t="s">
        <v>43</v>
      </c>
      <c r="B38" s="21">
        <v>2</v>
      </c>
      <c r="C38" s="21">
        <v>169</v>
      </c>
      <c r="D38" s="21" t="s">
        <v>17</v>
      </c>
      <c r="E38" s="21" t="s">
        <v>37</v>
      </c>
      <c r="F38" s="23">
        <v>3.5</v>
      </c>
      <c r="G38" s="21">
        <v>2</v>
      </c>
      <c r="H38" s="21">
        <f>C38+25</f>
        <v>194</v>
      </c>
      <c r="I38" s="4">
        <f>C38*L4+5000+5000</f>
        <v>271950</v>
      </c>
      <c r="J38" s="24">
        <v>46631</v>
      </c>
      <c r="K38" s="2"/>
    </row>
    <row r="39" spans="1:11" ht="19.5" customHeight="1" x14ac:dyDescent="0.2">
      <c r="A39" s="10" t="s">
        <v>44</v>
      </c>
      <c r="B39" s="10">
        <v>2</v>
      </c>
      <c r="C39" s="10">
        <v>93</v>
      </c>
      <c r="D39" s="10" t="s">
        <v>17</v>
      </c>
      <c r="E39" s="10">
        <v>2</v>
      </c>
      <c r="F39" s="10">
        <v>2</v>
      </c>
      <c r="G39" s="10">
        <v>1</v>
      </c>
      <c r="H39" s="10">
        <f t="shared" ref="H39:H41" si="9">C39+12.5</f>
        <v>105.5</v>
      </c>
      <c r="I39" s="7" t="s">
        <v>63</v>
      </c>
      <c r="J39" s="8">
        <v>46631</v>
      </c>
      <c r="K39" s="2"/>
    </row>
    <row r="40" spans="1:11" ht="19.5" customHeight="1" x14ac:dyDescent="0.2">
      <c r="A40" s="28" t="s">
        <v>45</v>
      </c>
      <c r="B40" s="28">
        <v>2</v>
      </c>
      <c r="C40" s="28">
        <v>81</v>
      </c>
      <c r="D40" s="28" t="s">
        <v>17</v>
      </c>
      <c r="E40" s="28">
        <v>2</v>
      </c>
      <c r="F40" s="28">
        <v>2</v>
      </c>
      <c r="G40" s="28">
        <v>1</v>
      </c>
      <c r="H40" s="28">
        <f t="shared" si="9"/>
        <v>93.5</v>
      </c>
      <c r="I40" s="29" t="s">
        <v>63</v>
      </c>
      <c r="J40" s="30">
        <v>46631</v>
      </c>
      <c r="K40" s="2"/>
    </row>
    <row r="41" spans="1:11" ht="19.5" customHeight="1" x14ac:dyDescent="0.2">
      <c r="A41" s="28" t="s">
        <v>46</v>
      </c>
      <c r="B41" s="28">
        <v>2</v>
      </c>
      <c r="C41" s="28">
        <v>89</v>
      </c>
      <c r="D41" s="28" t="s">
        <v>17</v>
      </c>
      <c r="E41" s="28">
        <v>2</v>
      </c>
      <c r="F41" s="28">
        <v>2</v>
      </c>
      <c r="G41" s="28">
        <v>1</v>
      </c>
      <c r="H41" s="28">
        <f t="shared" si="9"/>
        <v>101.5</v>
      </c>
      <c r="I41" s="31" t="s">
        <v>63</v>
      </c>
      <c r="J41" s="30">
        <v>46631</v>
      </c>
      <c r="K41" s="2"/>
    </row>
    <row r="42" spans="1:11" ht="19.5" customHeight="1" x14ac:dyDescent="0.2">
      <c r="A42" s="21" t="s">
        <v>47</v>
      </c>
      <c r="B42" s="21">
        <v>2</v>
      </c>
      <c r="C42" s="21">
        <v>143</v>
      </c>
      <c r="D42" s="21" t="s">
        <v>17</v>
      </c>
      <c r="E42" s="21" t="s">
        <v>37</v>
      </c>
      <c r="F42" s="23">
        <v>3.5</v>
      </c>
      <c r="G42" s="21">
        <v>2</v>
      </c>
      <c r="H42" s="21">
        <f t="shared" ref="H42:H43" si="10">C42+25</f>
        <v>168</v>
      </c>
      <c r="I42" s="4">
        <f>C42*L4+5000+5000</f>
        <v>231650</v>
      </c>
      <c r="J42" s="24">
        <v>46631</v>
      </c>
      <c r="K42" s="2"/>
    </row>
    <row r="43" spans="1:11" ht="19.5" customHeight="1" x14ac:dyDescent="0.2">
      <c r="A43" s="10" t="s">
        <v>48</v>
      </c>
      <c r="B43" s="10">
        <v>3</v>
      </c>
      <c r="C43" s="10">
        <v>169</v>
      </c>
      <c r="D43" s="10" t="s">
        <v>17</v>
      </c>
      <c r="E43" s="10" t="s">
        <v>37</v>
      </c>
      <c r="F43" s="11">
        <v>3.5</v>
      </c>
      <c r="G43" s="10">
        <v>2</v>
      </c>
      <c r="H43" s="10">
        <f t="shared" si="10"/>
        <v>194</v>
      </c>
      <c r="I43" s="7" t="s">
        <v>63</v>
      </c>
      <c r="J43" s="8">
        <v>46631</v>
      </c>
      <c r="K43" s="2"/>
    </row>
    <row r="44" spans="1:11" ht="19.5" customHeight="1" x14ac:dyDescent="0.2">
      <c r="A44" s="21" t="s">
        <v>49</v>
      </c>
      <c r="B44" s="21">
        <v>3</v>
      </c>
      <c r="C44" s="21">
        <v>93</v>
      </c>
      <c r="D44" s="21" t="s">
        <v>17</v>
      </c>
      <c r="E44" s="21">
        <v>2</v>
      </c>
      <c r="F44" s="21">
        <v>2</v>
      </c>
      <c r="G44" s="21">
        <v>1</v>
      </c>
      <c r="H44" s="21">
        <f t="shared" ref="H44:H46" si="11">C44+12.5</f>
        <v>105.5</v>
      </c>
      <c r="I44" s="4">
        <f>C44*L4+2500+5000+5000</f>
        <v>156650</v>
      </c>
      <c r="J44" s="24">
        <v>46631</v>
      </c>
      <c r="K44" s="2"/>
    </row>
    <row r="45" spans="1:11" ht="19.5" customHeight="1" x14ac:dyDescent="0.2">
      <c r="A45" s="10" t="s">
        <v>50</v>
      </c>
      <c r="B45" s="10">
        <v>3</v>
      </c>
      <c r="C45" s="10">
        <v>81</v>
      </c>
      <c r="D45" s="10" t="s">
        <v>17</v>
      </c>
      <c r="E45" s="10">
        <v>2</v>
      </c>
      <c r="F45" s="10">
        <v>2</v>
      </c>
      <c r="G45" s="10">
        <v>1</v>
      </c>
      <c r="H45" s="10">
        <f t="shared" si="11"/>
        <v>93.5</v>
      </c>
      <c r="I45" s="7" t="s">
        <v>63</v>
      </c>
      <c r="J45" s="8">
        <v>46631</v>
      </c>
      <c r="K45" s="2"/>
    </row>
    <row r="46" spans="1:11" ht="19.5" customHeight="1" x14ac:dyDescent="0.2">
      <c r="A46" s="13" t="s">
        <v>51</v>
      </c>
      <c r="B46" s="13">
        <v>3</v>
      </c>
      <c r="C46" s="10">
        <v>89</v>
      </c>
      <c r="D46" s="13" t="s">
        <v>17</v>
      </c>
      <c r="E46" s="13">
        <v>2</v>
      </c>
      <c r="F46" s="13">
        <v>2</v>
      </c>
      <c r="G46" s="13">
        <v>1</v>
      </c>
      <c r="H46" s="13">
        <f t="shared" si="11"/>
        <v>101.5</v>
      </c>
      <c r="I46" s="7" t="s">
        <v>63</v>
      </c>
      <c r="J46" s="8">
        <v>46631</v>
      </c>
      <c r="K46" s="2"/>
    </row>
    <row r="47" spans="1:11" ht="19.5" customHeight="1" x14ac:dyDescent="0.2">
      <c r="A47" s="21" t="s">
        <v>52</v>
      </c>
      <c r="B47" s="21">
        <v>3</v>
      </c>
      <c r="C47" s="21">
        <v>143</v>
      </c>
      <c r="D47" s="21" t="s">
        <v>17</v>
      </c>
      <c r="E47" s="21" t="s">
        <v>37</v>
      </c>
      <c r="F47" s="23">
        <v>3.5</v>
      </c>
      <c r="G47" s="21">
        <v>2</v>
      </c>
      <c r="H47" s="21">
        <f t="shared" ref="H47:H48" si="12">C47+25</f>
        <v>168</v>
      </c>
      <c r="I47" s="4">
        <f>C47*L4+2500+5000+5000</f>
        <v>234150</v>
      </c>
      <c r="J47" s="24">
        <v>46631</v>
      </c>
      <c r="K47" s="2"/>
    </row>
    <row r="48" spans="1:11" ht="19.5" customHeight="1" x14ac:dyDescent="0.2">
      <c r="A48" s="10" t="s">
        <v>53</v>
      </c>
      <c r="B48" s="10">
        <v>4</v>
      </c>
      <c r="C48" s="10">
        <v>169</v>
      </c>
      <c r="D48" s="10" t="s">
        <v>17</v>
      </c>
      <c r="E48" s="10" t="s">
        <v>37</v>
      </c>
      <c r="F48" s="11">
        <v>3.5</v>
      </c>
      <c r="G48" s="10">
        <v>2</v>
      </c>
      <c r="H48" s="10">
        <f t="shared" si="12"/>
        <v>194</v>
      </c>
      <c r="I48" s="7" t="s">
        <v>63</v>
      </c>
      <c r="J48" s="8">
        <v>46631</v>
      </c>
      <c r="K48" s="2"/>
    </row>
    <row r="49" spans="1:11" ht="19.5" customHeight="1" x14ac:dyDescent="0.2">
      <c r="A49" s="10" t="s">
        <v>54</v>
      </c>
      <c r="B49" s="10">
        <v>4</v>
      </c>
      <c r="C49" s="10">
        <v>93</v>
      </c>
      <c r="D49" s="10" t="s">
        <v>17</v>
      </c>
      <c r="E49" s="10">
        <v>2</v>
      </c>
      <c r="F49" s="10">
        <v>2</v>
      </c>
      <c r="G49" s="10">
        <v>1</v>
      </c>
      <c r="H49" s="10">
        <f t="shared" ref="H49:H51" si="13">C49+12.5</f>
        <v>105.5</v>
      </c>
      <c r="I49" s="7" t="s">
        <v>63</v>
      </c>
      <c r="J49" s="8">
        <v>46631</v>
      </c>
      <c r="K49" s="2"/>
    </row>
    <row r="50" spans="1:11" ht="19.5" customHeight="1" x14ac:dyDescent="0.2">
      <c r="A50" s="10" t="s">
        <v>55</v>
      </c>
      <c r="B50" s="10">
        <v>4</v>
      </c>
      <c r="C50" s="10">
        <v>81</v>
      </c>
      <c r="D50" s="10" t="s">
        <v>17</v>
      </c>
      <c r="E50" s="10">
        <v>2</v>
      </c>
      <c r="F50" s="10">
        <v>2</v>
      </c>
      <c r="G50" s="10">
        <v>1</v>
      </c>
      <c r="H50" s="10">
        <f t="shared" si="13"/>
        <v>93.5</v>
      </c>
      <c r="I50" s="7" t="s">
        <v>63</v>
      </c>
      <c r="J50" s="8">
        <v>46631</v>
      </c>
      <c r="K50" s="2"/>
    </row>
    <row r="51" spans="1:11" ht="19.5" customHeight="1" x14ac:dyDescent="0.2">
      <c r="A51" s="2" t="s">
        <v>56</v>
      </c>
      <c r="B51" s="2">
        <v>4</v>
      </c>
      <c r="C51" s="21">
        <v>89</v>
      </c>
      <c r="D51" s="2" t="s">
        <v>17</v>
      </c>
      <c r="E51" s="2">
        <v>2</v>
      </c>
      <c r="F51" s="2">
        <v>2</v>
      </c>
      <c r="G51" s="2">
        <v>1</v>
      </c>
      <c r="H51" s="2">
        <f t="shared" si="13"/>
        <v>101.5</v>
      </c>
      <c r="I51" s="4">
        <f>C51*L4+5000+5000+5000</f>
        <v>152950</v>
      </c>
      <c r="J51" s="24">
        <v>46631</v>
      </c>
      <c r="K51" s="2"/>
    </row>
    <row r="52" spans="1:11" ht="19.5" customHeight="1" x14ac:dyDescent="0.2">
      <c r="A52" s="10" t="s">
        <v>57</v>
      </c>
      <c r="B52" s="10">
        <v>4</v>
      </c>
      <c r="C52" s="10">
        <v>143</v>
      </c>
      <c r="D52" s="10" t="s">
        <v>17</v>
      </c>
      <c r="E52" s="10" t="s">
        <v>37</v>
      </c>
      <c r="F52" s="11">
        <v>3.5</v>
      </c>
      <c r="G52" s="10">
        <v>2</v>
      </c>
      <c r="H52" s="10">
        <f t="shared" ref="H52:H53" si="14">C52+25</f>
        <v>168</v>
      </c>
      <c r="I52" s="7" t="s">
        <v>63</v>
      </c>
      <c r="J52" s="8">
        <v>46631</v>
      </c>
      <c r="K52" s="2"/>
    </row>
    <row r="53" spans="1:11" ht="19.5" customHeight="1" x14ac:dyDescent="0.2">
      <c r="A53" s="21" t="s">
        <v>58</v>
      </c>
      <c r="B53" s="21">
        <v>5</v>
      </c>
      <c r="C53" s="21">
        <v>169</v>
      </c>
      <c r="D53" s="21" t="s">
        <v>17</v>
      </c>
      <c r="E53" s="21" t="s">
        <v>37</v>
      </c>
      <c r="F53" s="23">
        <v>3.5</v>
      </c>
      <c r="G53" s="21">
        <v>2</v>
      </c>
      <c r="H53" s="21">
        <f t="shared" si="14"/>
        <v>194</v>
      </c>
      <c r="I53" s="4">
        <f>C53*L4+8000+5000+5000</f>
        <v>279950</v>
      </c>
      <c r="J53" s="24">
        <v>46631</v>
      </c>
      <c r="K53" s="2"/>
    </row>
    <row r="54" spans="1:11" ht="19.5" customHeight="1" x14ac:dyDescent="0.2">
      <c r="A54" s="10" t="s">
        <v>59</v>
      </c>
      <c r="B54" s="10">
        <v>5</v>
      </c>
      <c r="C54" s="10">
        <v>93</v>
      </c>
      <c r="D54" s="10" t="s">
        <v>17</v>
      </c>
      <c r="E54" s="10">
        <v>2</v>
      </c>
      <c r="F54" s="10">
        <v>2</v>
      </c>
      <c r="G54" s="10">
        <v>1</v>
      </c>
      <c r="H54" s="10">
        <f t="shared" ref="H54:H56" si="15">C54+12.5</f>
        <v>105.5</v>
      </c>
      <c r="I54" s="7" t="s">
        <v>63</v>
      </c>
      <c r="J54" s="8">
        <v>46631</v>
      </c>
      <c r="K54" s="2"/>
    </row>
    <row r="55" spans="1:11" ht="19.5" customHeight="1" x14ac:dyDescent="0.2">
      <c r="A55" s="28" t="s">
        <v>60</v>
      </c>
      <c r="B55" s="28">
        <v>5</v>
      </c>
      <c r="C55" s="28">
        <v>81</v>
      </c>
      <c r="D55" s="28" t="s">
        <v>17</v>
      </c>
      <c r="E55" s="28">
        <v>2</v>
      </c>
      <c r="F55" s="28">
        <v>2</v>
      </c>
      <c r="G55" s="28">
        <v>1</v>
      </c>
      <c r="H55" s="28">
        <f t="shared" si="15"/>
        <v>93.5</v>
      </c>
      <c r="I55" s="31" t="s">
        <v>63</v>
      </c>
      <c r="J55" s="30">
        <v>46631</v>
      </c>
      <c r="K55" s="2"/>
    </row>
    <row r="56" spans="1:11" ht="19.5" customHeight="1" x14ac:dyDescent="0.2">
      <c r="A56" s="21" t="s">
        <v>61</v>
      </c>
      <c r="B56" s="21">
        <v>5</v>
      </c>
      <c r="C56" s="21">
        <v>89</v>
      </c>
      <c r="D56" s="21" t="s">
        <v>17</v>
      </c>
      <c r="E56" s="21">
        <v>2</v>
      </c>
      <c r="F56" s="21">
        <v>2</v>
      </c>
      <c r="G56" s="21">
        <v>1</v>
      </c>
      <c r="H56" s="21">
        <f t="shared" si="15"/>
        <v>101.5</v>
      </c>
      <c r="I56" s="4">
        <f>C56*L4+8000+5000+5000</f>
        <v>155950</v>
      </c>
      <c r="J56" s="24">
        <v>46631</v>
      </c>
      <c r="K56" s="2"/>
    </row>
    <row r="57" spans="1:11" ht="19.5" customHeight="1" x14ac:dyDescent="0.2">
      <c r="A57" s="10" t="s">
        <v>62</v>
      </c>
      <c r="B57" s="10">
        <v>5</v>
      </c>
      <c r="C57" s="10">
        <v>143</v>
      </c>
      <c r="D57" s="10" t="s">
        <v>17</v>
      </c>
      <c r="E57" s="10" t="s">
        <v>37</v>
      </c>
      <c r="F57" s="11">
        <v>3.5</v>
      </c>
      <c r="G57" s="10">
        <v>2</v>
      </c>
      <c r="H57" s="10">
        <f>C57+25</f>
        <v>168</v>
      </c>
      <c r="I57" s="7" t="s">
        <v>63</v>
      </c>
      <c r="J57" s="8">
        <v>46631</v>
      </c>
      <c r="K57" s="2"/>
    </row>
    <row r="58" spans="1:11" ht="19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9.5" customHeight="1" x14ac:dyDescent="0.2">
      <c r="A59" s="2"/>
      <c r="B59" s="2"/>
      <c r="C59" s="2"/>
      <c r="D59" s="2"/>
      <c r="E59" s="2"/>
      <c r="F59" s="2"/>
      <c r="G59" s="2"/>
      <c r="H59" s="2"/>
      <c r="I59" s="25"/>
      <c r="J59" s="2"/>
      <c r="K59" s="2"/>
    </row>
    <row r="60" spans="1:11" ht="19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9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9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9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9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9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9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9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9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9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9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9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9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9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9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9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9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9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9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9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9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9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9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1" ht="19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1" ht="19.5" customHeight="1" x14ac:dyDescent="0.2"/>
    <row r="85" spans="1:11" ht="19.5" customHeight="1" x14ac:dyDescent="0.2"/>
    <row r="86" spans="1:11" ht="19.5" customHeight="1" x14ac:dyDescent="0.2"/>
    <row r="87" spans="1:11" ht="19.5" customHeight="1" x14ac:dyDescent="0.2"/>
    <row r="88" spans="1:11" ht="19.5" customHeight="1" x14ac:dyDescent="0.2"/>
    <row r="89" spans="1:11" ht="19.5" customHeight="1" x14ac:dyDescent="0.2"/>
    <row r="90" spans="1:11" ht="19.5" customHeight="1" x14ac:dyDescent="0.2"/>
    <row r="91" spans="1:11" ht="19.5" customHeight="1" x14ac:dyDescent="0.2"/>
    <row r="92" spans="1:11" ht="19.5" customHeight="1" x14ac:dyDescent="0.2"/>
    <row r="93" spans="1:11" ht="19.5" customHeight="1" x14ac:dyDescent="0.2"/>
    <row r="94" spans="1:11" ht="19.5" customHeight="1" x14ac:dyDescent="0.2"/>
    <row r="95" spans="1:11" ht="19.5" customHeight="1" x14ac:dyDescent="0.2"/>
    <row r="96" spans="1:11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  <row r="225" ht="19.5" customHeight="1" x14ac:dyDescent="0.2"/>
    <row r="226" ht="19.5" customHeight="1" x14ac:dyDescent="0.2"/>
    <row r="227" ht="19.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J1"/>
    <mergeCell ref="A29:J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Ceballos</dc:creator>
  <cp:lastModifiedBy>Miguel Ceballos</cp:lastModifiedBy>
  <dcterms:created xsi:type="dcterms:W3CDTF">2023-07-14T19:22:02Z</dcterms:created>
  <dcterms:modified xsi:type="dcterms:W3CDTF">2026-04-14T21:28:51Z</dcterms:modified>
</cp:coreProperties>
</file>